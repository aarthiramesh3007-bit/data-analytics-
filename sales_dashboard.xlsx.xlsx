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lcotedu-my.sharepoint.com/personal/s0048079_edu_elcot_in/Documents/Documents/Copilot/Created/"/>
    </mc:Choice>
  </mc:AlternateContent>
  <xr:revisionPtr revIDLastSave="487" documentId="8_{B5E8E5B9-15D9-4428-BE3E-B48F445C410F}" xr6:coauthVersionLast="47" xr6:coauthVersionMax="47" xr10:uidLastSave="{875F4139-2B18-4828-91FA-92841E072ADA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Sheet1!$O$2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0" i="1" l="1"/>
  <c r="I5" i="1" a="1"/>
  <c r="I3" i="1" a="1"/>
  <c r="J5" i="1" a="1"/>
  <c r="J3" i="1" a="1"/>
  <c r="V36" i="1"/>
  <c r="S40" i="1"/>
  <c r="S35" i="1"/>
  <c r="Y27" i="1"/>
  <c r="Y26" i="1"/>
  <c r="V31" i="1"/>
  <c r="V29" i="1"/>
  <c r="W28" i="1"/>
  <c r="W27" i="1"/>
  <c r="W26" i="1"/>
  <c r="T30" i="1"/>
  <c r="T29" i="1"/>
  <c r="U28" i="1"/>
  <c r="U27" i="1"/>
  <c r="U26" i="1"/>
  <c r="X16" i="1"/>
  <c r="X15" i="1"/>
  <c r="V20" i="1"/>
  <c r="V19" i="1"/>
  <c r="V18" i="1"/>
  <c r="V17" i="1"/>
  <c r="V16" i="1"/>
  <c r="V15" i="1"/>
  <c r="T19" i="1"/>
  <c r="T18" i="1"/>
  <c r="T17" i="1"/>
  <c r="T16" i="1"/>
  <c r="T15" i="1"/>
  <c r="Q7" i="1"/>
  <c r="Z4" i="1"/>
  <c r="X6" i="1"/>
  <c r="X7" i="1"/>
  <c r="V11" i="1"/>
  <c r="V10" i="1"/>
  <c r="V9" i="1"/>
  <c r="V8" i="1"/>
  <c r="V7" i="1"/>
  <c r="V6" i="1"/>
  <c r="T10" i="1"/>
  <c r="T9" i="1"/>
  <c r="T8" i="1"/>
  <c r="T7" i="1"/>
  <c r="T6" i="1"/>
  <c r="P7" i="1"/>
  <c r="O7" i="1"/>
  <c r="P13" i="1"/>
  <c r="O13" i="1"/>
  <c r="N13" i="1"/>
  <c r="M13" i="1"/>
  <c r="N7" i="1"/>
  <c r="M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<sst xmlns="http://schemas.openxmlformats.org/spreadsheetml/2006/main" count="196" uniqueCount="89">
  <si>
    <t>Order_ID</t>
  </si>
  <si>
    <t>Order_Date</t>
  </si>
  <si>
    <t>City</t>
  </si>
  <si>
    <t>Product</t>
  </si>
  <si>
    <t>Category</t>
  </si>
  <si>
    <t>Quantity</t>
  </si>
  <si>
    <t>Sales</t>
  </si>
  <si>
    <t>Profit</t>
  </si>
  <si>
    <t>2026-01-05</t>
  </si>
  <si>
    <t>2026-01-07</t>
  </si>
  <si>
    <t>2026-01-10</t>
  </si>
  <si>
    <t>2026-01-12</t>
  </si>
  <si>
    <t>2026-01-15</t>
  </si>
  <si>
    <t>2026-01-18</t>
  </si>
  <si>
    <t>2026-01-21</t>
  </si>
  <si>
    <t>2026-01-24</t>
  </si>
  <si>
    <t>2026-01-26</t>
  </si>
  <si>
    <t>2026-01-28</t>
  </si>
  <si>
    <t>2026-02-02</t>
  </si>
  <si>
    <t>2026-02-05</t>
  </si>
  <si>
    <t>2026-02-08</t>
  </si>
  <si>
    <t>2026-02-11</t>
  </si>
  <si>
    <t>2026-02-14</t>
  </si>
  <si>
    <t>2026-02-17</t>
  </si>
  <si>
    <t>2026-02-20</t>
  </si>
  <si>
    <t>2026-02-23</t>
  </si>
  <si>
    <t>2026-02-26</t>
  </si>
  <si>
    <t>2026-02-28</t>
  </si>
  <si>
    <t>Chennai</t>
  </si>
  <si>
    <t>Coimbatore</t>
  </si>
  <si>
    <t>Madurai</t>
  </si>
  <si>
    <t>Salem</t>
  </si>
  <si>
    <t>Trichy</t>
  </si>
  <si>
    <t>Laptop</t>
  </si>
  <si>
    <t>Mouse</t>
  </si>
  <si>
    <t>Keyboard</t>
  </si>
  <si>
    <t>Monitor</t>
  </si>
  <si>
    <t>Headset</t>
  </si>
  <si>
    <t>Printer</t>
  </si>
  <si>
    <t>Electronics</t>
  </si>
  <si>
    <t>Accessories</t>
  </si>
  <si>
    <t xml:space="preserve">Total Sales </t>
  </si>
  <si>
    <t xml:space="preserve">Total Profit </t>
  </si>
  <si>
    <t xml:space="preserve">Average Sales </t>
  </si>
  <si>
    <t xml:space="preserve">Average Profit </t>
  </si>
  <si>
    <t xml:space="preserve">Minimum Sales </t>
  </si>
  <si>
    <t xml:space="preserve">Maximum Sales </t>
  </si>
  <si>
    <t>Minimum Profit</t>
  </si>
  <si>
    <t>Maximum Profit</t>
  </si>
  <si>
    <t xml:space="preserve">Trichy </t>
  </si>
  <si>
    <t>Total Profit</t>
  </si>
  <si>
    <t xml:space="preserve">Products </t>
  </si>
  <si>
    <t>Cities</t>
  </si>
  <si>
    <t>Total Sales</t>
  </si>
  <si>
    <t xml:space="preserve">Laptop </t>
  </si>
  <si>
    <t>city wise sales analysis</t>
  </si>
  <si>
    <t>Product wise sales analysis</t>
  </si>
  <si>
    <t>Category wise sales analysis</t>
  </si>
  <si>
    <t>Category Range</t>
  </si>
  <si>
    <t>Orders</t>
  </si>
  <si>
    <t>Products</t>
  </si>
  <si>
    <t xml:space="preserve">Profit Analysis </t>
  </si>
  <si>
    <t xml:space="preserve">Quantity Analysis </t>
  </si>
  <si>
    <t>Total Quantity</t>
  </si>
  <si>
    <t>Product wise quantity analysis</t>
  </si>
  <si>
    <t>total product</t>
  </si>
  <si>
    <t xml:space="preserve"> </t>
  </si>
  <si>
    <t>Category wise quantity analysis</t>
  </si>
  <si>
    <t xml:space="preserve">Total category </t>
  </si>
  <si>
    <t xml:space="preserve">Relationship analysis </t>
  </si>
  <si>
    <t>Sales vs Profit</t>
  </si>
  <si>
    <t>(- moderate negative)</t>
  </si>
  <si>
    <t>( very strong positive)</t>
  </si>
  <si>
    <t xml:space="preserve">Month wise sales </t>
  </si>
  <si>
    <t>11 month</t>
  </si>
  <si>
    <t>12month</t>
  </si>
  <si>
    <t xml:space="preserve">Month wise profit </t>
  </si>
  <si>
    <t>city wise sales chart</t>
  </si>
  <si>
    <t>product wise sales chart</t>
  </si>
  <si>
    <t xml:space="preserve">ales chart </t>
  </si>
  <si>
    <t>january</t>
  </si>
  <si>
    <t>FEBRUARY</t>
  </si>
  <si>
    <t>Month wise profit</t>
  </si>
  <si>
    <t>sales vs profit</t>
  </si>
  <si>
    <t xml:space="preserve">sales dashboard </t>
  </si>
  <si>
    <t xml:space="preserve">total sales </t>
  </si>
  <si>
    <t>total profit</t>
  </si>
  <si>
    <t>average sales</t>
  </si>
  <si>
    <t xml:space="preserve">no of orders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</si>
</sst>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17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top"/>
    </xf>
    <xf numFmtId="0" fontId="4" fillId="0" borderId="3" xfId="0" applyFont="1" applyBorder="1"/>
    <xf numFmtId="0" fontId="5" fillId="0" borderId="4" xfId="0" applyFont="1" applyBorder="1"/>
    <xf numFmtId="0" fontId="5" fillId="0" borderId="3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977777777777778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8031496062992"/>
          <c:y val="0.19486111111111112"/>
          <c:w val="0.85219685039370074"/>
          <c:h val="0.614406167979002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Sheet1!$X$4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Sheet1!$W$5:$W$8</c:f>
              <c:strCache>
                <c:ptCount val="3"/>
                <c:pt idx="1">
                  <c:v>Electronics</c:v>
                </c:pt>
                <c:pt idx="2">
                  <c:v>Accessories</c:v>
                </c:pt>
              </c:strCache>
            </c:strRef>
          </c:cat>
          <c:val>
            <c:numRef>
              <c:f>Sheet1!$X$5:$X$8</c:f>
              <c:numCache>
                <c:formatCode>General</c:formatCode>
                <c:ptCount val="4"/>
                <c:pt idx="1">
                  <c:v>570000</c:v>
                </c:pt>
                <c:pt idx="2">
                  <c:v>47000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7-4A9E-BA05-B28932F8D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3993279"/>
        <c:axId val="595320655"/>
      </c:barChart>
      <c:catAx>
        <c:axId val="60399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320655"/>
        <c:crosses val="autoZero"/>
        <c:auto val="1"/>
        <c:lblAlgn val="ctr"/>
        <c:lblOffset val="100"/>
        <c:noMultiLvlLbl val="0"/>
      </c:catAx>
      <c:valAx>
        <c:axId val="59532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993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Sheet1!$J$1:$J$2</c:f>
              <c:strCache>
                <c:ptCount val="2"/>
                <c:pt idx="0">
                  <c:v>Month wise sales </c:v>
                </c:pt>
                <c:pt idx="1">
                  <c:v>january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Sheet1!$J$3:$J$5</c:f>
              <c:numCache>
                <c:formatCode>@</c:formatCode>
                <c:ptCount val="3"/>
                <c:pt idx="0" formatCode="General">
                  <c:v>347500</c:v>
                </c:pt>
                <c:pt idx="1">
                  <c:v>0</c:v>
                </c:pt>
                <c:pt idx="2" formatCode="General">
                  <c:v>269500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EB-45A7-B214-E12C9D425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310063"/>
        <c:axId val="595387855"/>
      </c:lineChart>
      <c:catAx>
        <c:axId val="57931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387855"/>
        <c:crosses val="autoZero"/>
        <c:auto val="1"/>
        <c:lblAlgn val="ctr"/>
        <c:lblOffset val="100"/>
        <c:noMultiLvlLbl val="0"/>
      </c:catAx>
      <c:valAx>
        <c:axId val="59538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31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Sheet1!$I$1:$I$4</c:f>
              <c:strCache>
                <c:ptCount val="4"/>
                <c:pt idx="0">
                  <c:v>Month wise profit </c:v>
                </c:pt>
                <c:pt idx="1">
                  <c:v>january</c:v>
                </c:pt>
                <c:pt idx="2">
                  <c:v>48700</c:v>
                </c:pt>
                <c:pt idx="3">
                  <c:v>FEBRUARY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Sheet1!$I$5</c:f>
              <c:numCache>
                <c:formatCode>General</c:formatCode>
                <c:ptCount val="1"/>
                <c:pt idx="0">
                  <c:v>39800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69-406D-BBAB-7511119D0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5855999"/>
        <c:axId val="595425775"/>
      </c:lineChart>
      <c:catAx>
        <c:axId val="1555855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425775"/>
        <c:crosses val="autoZero"/>
        <c:auto val="1"/>
        <c:lblAlgn val="ctr"/>
        <c:lblOffset val="100"/>
        <c:noMultiLvlLbl val="0"/>
      </c:catAx>
      <c:valAx>
        <c:axId val="59542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85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Sheet1!$S$40:$S$41</c:f>
              <c:numCache>
                <c:formatCode>General</c:formatCode>
                <c:ptCount val="2"/>
                <c:pt idx="0">
                  <c:v>0.99303082435014989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24-4147-9048-3188D331A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956687"/>
        <c:axId val="595269775"/>
      </c:scatterChart>
      <c:valAx>
        <c:axId val="155595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269775"/>
        <c:crosses val="autoZero"/>
        <c:crossBetween val="midCat"/>
      </c:valAx>
      <c:valAx>
        <c:axId val="59526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956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Sheet1!$V$4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Sheet1!$U$5:$U$11</c:f>
              <c:strCache>
                <c:ptCount val="7"/>
                <c:pt idx="1">
                  <c:v>Laptop </c:v>
                </c:pt>
                <c:pt idx="2">
                  <c:v>Mouse</c:v>
                </c:pt>
                <c:pt idx="3">
                  <c:v>Keyboard</c:v>
                </c:pt>
                <c:pt idx="4">
                  <c:v>Monitor</c:v>
                </c:pt>
                <c:pt idx="5">
                  <c:v>Headset</c:v>
                </c:pt>
                <c:pt idx="6">
                  <c:v>Printer</c:v>
                </c:pt>
              </c:strCache>
            </c:strRef>
          </c:cat>
          <c:val>
            <c:numRef>
              <c:f>Sheet1!$V$5:$V$11</c:f>
              <c:numCache>
                <c:formatCode>General</c:formatCode>
                <c:ptCount val="7"/>
                <c:pt idx="1">
                  <c:v>405000</c:v>
                </c:pt>
                <c:pt idx="2">
                  <c:v>15000</c:v>
                </c:pt>
                <c:pt idx="3">
                  <c:v>18000</c:v>
                </c:pt>
                <c:pt idx="4">
                  <c:v>105000</c:v>
                </c:pt>
                <c:pt idx="5">
                  <c:v>14000</c:v>
                </c:pt>
                <c:pt idx="6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F-4153-B3B0-AF873BE03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8085135"/>
        <c:axId val="595307695"/>
      </c:barChart>
      <c:catAx>
        <c:axId val="154808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307695"/>
        <c:crosses val="autoZero"/>
        <c:auto val="1"/>
        <c:lblAlgn val="ctr"/>
        <c:lblOffset val="100"/>
        <c:noMultiLvlLbl val="0"/>
      </c:catAx>
      <c:valAx>
        <c:axId val="59530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08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Sheet1!$T$4</c:f>
              <c:strCache>
                <c:ptCount val="1"/>
                <c:pt idx="0">
                  <c:v>Total 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Sheet1!$S$5:$S$10</c:f>
              <c:strCache>
                <c:ptCount val="6"/>
                <c:pt idx="1">
                  <c:v>Chennai</c:v>
                </c:pt>
                <c:pt idx="2">
                  <c:v>Coimbatore</c:v>
                </c:pt>
                <c:pt idx="3">
                  <c:v>Madurai</c:v>
                </c:pt>
                <c:pt idx="4">
                  <c:v>Salem</c:v>
                </c:pt>
                <c:pt idx="5">
                  <c:v>Trichy </c:v>
                </c:pt>
              </c:strCache>
            </c:strRef>
          </c:cat>
          <c:val>
            <c:numRef>
              <c:f>Sheet1!$T$5:$T$10</c:f>
              <c:numCache>
                <c:formatCode>General</c:formatCode>
                <c:ptCount val="6"/>
                <c:pt idx="1">
                  <c:v>224000</c:v>
                </c:pt>
                <c:pt idx="2">
                  <c:v>107000</c:v>
                </c:pt>
                <c:pt idx="3">
                  <c:v>93000</c:v>
                </c:pt>
                <c:pt idx="4">
                  <c:v>94000</c:v>
                </c:pt>
                <c:pt idx="5">
                  <c:v>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2-44E6-A1FE-5A4E5E735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315631"/>
        <c:axId val="595276975"/>
      </c:barChart>
      <c:catAx>
        <c:axId val="57931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276975"/>
        <c:crosses val="autoZero"/>
        <c:auto val="1"/>
        <c:lblAlgn val="ctr"/>
        <c:lblOffset val="100"/>
        <c:noMultiLvlLbl val="0"/>
      </c:catAx>
      <c:valAx>
        <c:axId val="59527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31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Sheet1!$T$4</c:f>
              <c:strCache>
                <c:ptCount val="1"/>
                <c:pt idx="0">
                  <c:v>Total 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Sheet1!$S$5:$S$10</c:f>
              <c:strCache>
                <c:ptCount val="6"/>
                <c:pt idx="1">
                  <c:v>Chennai</c:v>
                </c:pt>
                <c:pt idx="2">
                  <c:v>Coimbatore</c:v>
                </c:pt>
                <c:pt idx="3">
                  <c:v>Madurai</c:v>
                </c:pt>
                <c:pt idx="4">
                  <c:v>Salem</c:v>
                </c:pt>
                <c:pt idx="5">
                  <c:v>Trichy </c:v>
                </c:pt>
              </c:strCache>
            </c:strRef>
          </c:cat>
          <c:val>
            <c:numRef>
              <c:f>Sheet1!$T$5:$T$10</c:f>
              <c:numCache>
                <c:formatCode>General</c:formatCode>
                <c:ptCount val="6"/>
                <c:pt idx="1">
                  <c:v>224000</c:v>
                </c:pt>
                <c:pt idx="2">
                  <c:v>107000</c:v>
                </c:pt>
                <c:pt idx="3">
                  <c:v>93000</c:v>
                </c:pt>
                <c:pt idx="4">
                  <c:v>94000</c:v>
                </c:pt>
                <c:pt idx="5">
                  <c:v>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7-4325-94DC-724CCCAFE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315631"/>
        <c:axId val="595276975"/>
      </c:barChart>
      <c:catAx>
        <c:axId val="57931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276975"/>
        <c:crosses val="autoZero"/>
        <c:auto val="1"/>
        <c:lblAlgn val="ctr"/>
        <c:lblOffset val="100"/>
        <c:noMultiLvlLbl val="0"/>
      </c:catAx>
      <c:valAx>
        <c:axId val="59527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31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Sheet1!$V$4</c:f>
              <c:strCache>
                <c:ptCount val="1"/>
                <c:pt idx="0">
                  <c:v>Total Sales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Sheet1!$U$5:$U$11</c:f>
              <c:strCache>
                <c:ptCount val="7"/>
                <c:pt idx="1">
                  <c:v>Laptop </c:v>
                </c:pt>
                <c:pt idx="2">
                  <c:v>Mouse</c:v>
                </c:pt>
                <c:pt idx="3">
                  <c:v>Keyboard</c:v>
                </c:pt>
                <c:pt idx="4">
                  <c:v>Monitor</c:v>
                </c:pt>
                <c:pt idx="5">
                  <c:v>Headset</c:v>
                </c:pt>
                <c:pt idx="6">
                  <c:v>Printer</c:v>
                </c:pt>
              </c:strCache>
            </c:strRef>
          </c:cat>
          <c:val>
            <c:numRef>
              <c:f>Sheet1!$V$5:$V$11</c:f>
              <c:numCache>
                <c:formatCode>General</c:formatCode>
                <c:ptCount val="7"/>
                <c:pt idx="1">
                  <c:v>405000</c:v>
                </c:pt>
                <c:pt idx="2">
                  <c:v>15000</c:v>
                </c:pt>
                <c:pt idx="3">
                  <c:v>18000</c:v>
                </c:pt>
                <c:pt idx="4">
                  <c:v>105000</c:v>
                </c:pt>
                <c:pt idx="5">
                  <c:v>14000</c:v>
                </c:pt>
                <c:pt idx="6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1-46E0-8FE8-AC85A4689D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603988175"/>
        <c:axId val="595376335"/>
      </c:barChart>
      <c:catAx>
        <c:axId val="60398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376335"/>
        <c:crosses val="autoZero"/>
        <c:auto val="1"/>
        <c:lblAlgn val="ctr"/>
        <c:lblOffset val="100"/>
        <c:noMultiLvlLbl val="0"/>
      </c:catAx>
      <c:valAx>
        <c:axId val="595376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98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Sheet1!$V$4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Sheet1!$U$5:$U$11</c:f>
              <c:strCache>
                <c:ptCount val="7"/>
                <c:pt idx="1">
                  <c:v>Laptop </c:v>
                </c:pt>
                <c:pt idx="2">
                  <c:v>Mouse</c:v>
                </c:pt>
                <c:pt idx="3">
                  <c:v>Keyboard</c:v>
                </c:pt>
                <c:pt idx="4">
                  <c:v>Monitor</c:v>
                </c:pt>
                <c:pt idx="5">
                  <c:v>Headset</c:v>
                </c:pt>
                <c:pt idx="6">
                  <c:v>Printer</c:v>
                </c:pt>
              </c:strCache>
            </c:strRef>
          </c:cat>
          <c:val>
            <c:numRef>
              <c:f>Sheet1!$V$5:$V$11</c:f>
              <c:numCache>
                <c:formatCode>General</c:formatCode>
                <c:ptCount val="7"/>
                <c:pt idx="1">
                  <c:v>405000</c:v>
                </c:pt>
                <c:pt idx="2">
                  <c:v>15000</c:v>
                </c:pt>
                <c:pt idx="3">
                  <c:v>18000</c:v>
                </c:pt>
                <c:pt idx="4">
                  <c:v>105000</c:v>
                </c:pt>
                <c:pt idx="5">
                  <c:v>14000</c:v>
                </c:pt>
                <c:pt idx="6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3-4732-B34A-C5D71D3C7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8085135"/>
        <c:axId val="595307695"/>
      </c:barChart>
      <c:catAx>
        <c:axId val="154808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307695"/>
        <c:crosses val="autoZero"/>
        <c:auto val="1"/>
        <c:lblAlgn val="ctr"/>
        <c:lblOffset val="100"/>
        <c:noMultiLvlLbl val="0"/>
      </c:catAx>
      <c:valAx>
        <c:axId val="59530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08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977777777777778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8031496062992"/>
          <c:y val="0.19486111111111112"/>
          <c:w val="0.85219685039370074"/>
          <c:h val="0.614406167979002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Sheet1!$X$4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Sheet1!$W$5:$W$8</c:f>
              <c:strCache>
                <c:ptCount val="3"/>
                <c:pt idx="1">
                  <c:v>Electronics</c:v>
                </c:pt>
                <c:pt idx="2">
                  <c:v>Accessories</c:v>
                </c:pt>
              </c:strCache>
            </c:strRef>
          </c:cat>
          <c:val>
            <c:numRef>
              <c:f>Sheet1!$X$5:$X$8</c:f>
              <c:numCache>
                <c:formatCode>General</c:formatCode>
                <c:ptCount val="4"/>
                <c:pt idx="1">
                  <c:v>570000</c:v>
                </c:pt>
                <c:pt idx="2">
                  <c:v>47000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94-479E-9654-A6A88B359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3993279"/>
        <c:axId val="595320655"/>
      </c:barChart>
      <c:catAx>
        <c:axId val="60399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320655"/>
        <c:crosses val="autoZero"/>
        <c:auto val="1"/>
        <c:lblAlgn val="ctr"/>
        <c:lblOffset val="100"/>
        <c:noMultiLvlLbl val="0"/>
      </c:catAx>
      <c:valAx>
        <c:axId val="59532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993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Sheet1!$J$1:$J$2</c:f>
              <c:strCache>
                <c:ptCount val="2"/>
                <c:pt idx="0">
                  <c:v>Month wise sales </c:v>
                </c:pt>
                <c:pt idx="1">
                  <c:v>january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Sheet1!$J$3:$J$5</c:f>
              <c:numCache>
                <c:formatCode>@</c:formatCode>
                <c:ptCount val="3"/>
                <c:pt idx="0" formatCode="General">
                  <c:v>347500</c:v>
                </c:pt>
                <c:pt idx="1">
                  <c:v>0</c:v>
                </c:pt>
                <c:pt idx="2" formatCode="General">
                  <c:v>269500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01-462F-8958-638905BC2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310063"/>
        <c:axId val="595387855"/>
      </c:lineChart>
      <c:catAx>
        <c:axId val="57931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387855"/>
        <c:crosses val="autoZero"/>
        <c:auto val="1"/>
        <c:lblAlgn val="ctr"/>
        <c:lblOffset val="100"/>
        <c:noMultiLvlLbl val="0"/>
      </c:catAx>
      <c:valAx>
        <c:axId val="59538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31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Sheet1!$I$1:$I$4</c:f>
              <c:strCache>
                <c:ptCount val="4"/>
                <c:pt idx="0">
                  <c:v>Month wise profit </c:v>
                </c:pt>
                <c:pt idx="1">
                  <c:v>january</c:v>
                </c:pt>
                <c:pt idx="2">
                  <c:v>48700</c:v>
                </c:pt>
                <c:pt idx="3">
                  <c:v>FEBRUARY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Sheet1!$I$5</c:f>
              <c:numCache>
                <c:formatCode>General</c:formatCode>
                <c:ptCount val="1"/>
                <c:pt idx="0">
                  <c:v>39800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42-4E0B-9420-2D1022691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5855999"/>
        <c:axId val="595425775"/>
      </c:lineChart>
      <c:catAx>
        <c:axId val="1555855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425775"/>
        <c:crosses val="autoZero"/>
        <c:auto val="1"/>
        <c:lblAlgn val="ctr"/>
        <c:lblOffset val="100"/>
        <c:noMultiLvlLbl val="0"/>
      </c:catAx>
      <c:valAx>
        <c:axId val="59542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85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Sheet1!$S$40:$S$41</c:f>
              <c:numCache>
                <c:formatCode>General</c:formatCode>
                <c:ptCount val="2"/>
                <c:pt idx="0">
                  <c:v>0.99303082435014989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AF-495C-9A01-DF13853E0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956687"/>
        <c:axId val="595269775"/>
      </c:scatterChart>
      <c:valAx>
        <c:axId val="155595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269775"/>
        <c:crosses val="autoZero"/>
        <c:crossBetween val="midCat"/>
      </c:valAx>
      <c:valAx>
        <c:axId val="59526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956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733425</xdr:colOff>
      <xdr:row>43</xdr:row>
      <xdr:rowOff>185737</xdr:rowOff>
    </xdr:from>
    <xdr:to>
      <xdr:col>26</xdr:col>
      <xdr:colOff>866775</xdr:colOff>
      <xdr:row>58</xdr:row>
      <xdr:rowOff>71437</xdr:rowOff>
    </xdr:to>
    <xdr:graphicFrame macro="">
      <xdr:nvGraphicFramePr>
        <xdr:cNvPr id="5" name="Chart 4" descr="sales">
          <a:extLst>
            <a:ext uri="{FF2B5EF4-FFF2-40B4-BE49-F238E27FC236}">
              <a16:creationId xmlns:a16="http://schemas.microsoft.com/office/drawing/2014/main" id="{156083C9-A6A1-0CF0-51C5-A138A3F1B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43</xdr:row>
      <xdr:rowOff>71437</xdr:rowOff>
    </xdr:from>
    <xdr:to>
      <xdr:col>12</xdr:col>
      <xdr:colOff>76200</xdr:colOff>
      <xdr:row>57</xdr:row>
      <xdr:rowOff>147637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D299D2-BCC1-3321-8FF4-3491D3BD5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161926</xdr:colOff>
      <xdr:row>43</xdr:row>
      <xdr:rowOff>19049</xdr:rowOff>
    </xdr:from>
    <xdr:to>
      <xdr:col>7</xdr:col>
      <xdr:colOff>457201</xdr:colOff>
      <xdr:row>55</xdr:row>
      <xdr:rowOff>71436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D64909-C08C-C764-B735-FCA6B5F41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1114425</xdr:colOff>
      <xdr:row>61</xdr:row>
      <xdr:rowOff>138112</xdr:rowOff>
    </xdr:from>
    <xdr:to>
      <xdr:col>13</xdr:col>
      <xdr:colOff>38100</xdr:colOff>
      <xdr:row>76</xdr:row>
      <xdr:rowOff>23812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375DCF2-B7BC-CD45-7669-7D87A4EF99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357187</xdr:colOff>
      <xdr:row>43</xdr:row>
      <xdr:rowOff>138112</xdr:rowOff>
    </xdr:from>
    <xdr:to>
      <xdr:col>21</xdr:col>
      <xdr:colOff>185737</xdr:colOff>
      <xdr:row>58</xdr:row>
      <xdr:rowOff>23812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D7A0006-06BC-0C86-DB9D-E45275598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4</xdr:row>
      <xdr:rowOff>123824</xdr:rowOff>
    </xdr:from>
    <xdr:to>
      <xdr:col>4</xdr:col>
      <xdr:colOff>504825</xdr:colOff>
      <xdr:row>16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490BDE-B55A-467B-A784-47FD39A6A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376237</xdr:colOff>
      <xdr:row>43</xdr:row>
      <xdr:rowOff>14287</xdr:rowOff>
    </xdr:from>
    <xdr:to>
      <xdr:col>23</xdr:col>
      <xdr:colOff>71437</xdr:colOff>
      <xdr:row>57</xdr:row>
      <xdr:rowOff>90487</xdr:rowOff>
    </xdr:to>
    <xdr:graphicFrame macro="">
      <xdr:nvGraphicFramePr>
        <xdr:cNvPr id="3" name="Chart 8">
          <a:extLst>
            <a:ext uri="{FF2B5EF4-FFF2-40B4-BE49-F238E27FC236}">
              <a16:creationId xmlns:a16="http://schemas.microsoft.com/office/drawing/2014/main" id="{22612133-89B0-D9AB-3619-55BFAB5A9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523875</xdr:colOff>
      <xdr:row>43</xdr:row>
      <xdr:rowOff>123824</xdr:rowOff>
    </xdr:from>
    <xdr:to>
      <xdr:col>30</xdr:col>
      <xdr:colOff>180975</xdr:colOff>
      <xdr:row>57</xdr:row>
      <xdr:rowOff>90485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7950B0-3943-4DE9-8684-6824FF14C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914400</xdr:colOff>
      <xdr:row>4</xdr:row>
      <xdr:rowOff>104775</xdr:rowOff>
    </xdr:from>
    <xdr:to>
      <xdr:col>9</xdr:col>
      <xdr:colOff>200025</xdr:colOff>
      <xdr:row>16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4BA32E-0746-46DA-A10D-08F2F46E3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247651</xdr:colOff>
      <xdr:row>4</xdr:row>
      <xdr:rowOff>76201</xdr:rowOff>
    </xdr:from>
    <xdr:to>
      <xdr:col>15</xdr:col>
      <xdr:colOff>447675</xdr:colOff>
      <xdr:row>16</xdr:row>
      <xdr:rowOff>19051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F1326A-C0B5-4478-9AA7-367FA1F48A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333375</xdr:colOff>
      <xdr:row>17</xdr:row>
      <xdr:rowOff>9525</xdr:rowOff>
    </xdr:from>
    <xdr:to>
      <xdr:col>4</xdr:col>
      <xdr:colOff>504825</xdr:colOff>
      <xdr:row>28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A60C84-10CA-4404-93DD-366E00D5F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866776</xdr:colOff>
      <xdr:row>17</xdr:row>
      <xdr:rowOff>0</xdr:rowOff>
    </xdr:from>
    <xdr:to>
      <xdr:col>9</xdr:col>
      <xdr:colOff>57150</xdr:colOff>
      <xdr:row>28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CA6C0B6-E1ED-4118-BC6F-7FF865FDB9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16</xdr:col>
      <xdr:colOff>200025</xdr:colOff>
      <xdr:row>28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2BD22F0-D665-4EFB-A076-8E97ED0C9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3"/>
  <sheetViews>
    <sheetView tabSelected="1" topLeftCell="I41" workbookViewId="0">
      <selection activeCell="T26" sqref="T26"/>
    </sheetView>
  </sheetViews>
  <sheetFormatPr defaultRowHeight="15" x14ac:dyDescent="0.25"/>
  <cols>
    <col min="1" max="1" width="12.5703125" customWidth="1"/>
    <col min="2" max="2" width="13.7109375" customWidth="1"/>
    <col min="3" max="3" width="13.85546875" customWidth="1"/>
    <col min="4" max="4" width="12.85546875" customWidth="1"/>
    <col min="5" max="5" width="11" customWidth="1"/>
    <col min="8" max="8" width="11.28515625" customWidth="1"/>
    <col min="9" max="9" width="19.85546875" customWidth="1"/>
    <col min="10" max="12" width="16" customWidth="1"/>
    <col min="13" max="13" width="16.85546875" customWidth="1"/>
    <col min="14" max="14" width="16.42578125" customWidth="1"/>
    <col min="15" max="15" width="15.85546875" customWidth="1"/>
    <col min="16" max="16" width="17.28515625" customWidth="1"/>
    <col min="17" max="17" width="13.7109375" customWidth="1"/>
    <col min="19" max="19" width="19" customWidth="1"/>
    <col min="20" max="20" width="16.85546875" customWidth="1"/>
    <col min="21" max="21" width="12.42578125" customWidth="1"/>
    <col min="22" max="22" width="15.42578125" customWidth="1"/>
    <col min="23" max="23" width="13.85546875" customWidth="1"/>
    <col min="24" max="24" width="12.42578125" customWidth="1"/>
    <col min="26" max="26" width="15.7109375" customWidth="1"/>
    <col min="27" max="27" width="14.85546875" customWidth="1"/>
  </cols>
  <sheetData>
    <row r="1" spans="1:26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76</v>
      </c>
      <c r="J1" s="4" t="s">
        <v>73</v>
      </c>
      <c r="K1" s="7"/>
      <c r="L1" s="5"/>
    </row>
    <row r="2" spans="1:26" ht="15.75" x14ac:dyDescent="0.25">
      <c r="A2" s="2">
        <v>1001</v>
      </c>
      <c r="B2" t="s">
        <v>8</v>
      </c>
      <c r="C2" t="s">
        <v>28</v>
      </c>
      <c r="D2" t="s">
        <v>33</v>
      </c>
      <c r="E2" t="s">
        <v>39</v>
      </c>
      <c r="F2">
        <v>2</v>
      </c>
      <c r="G2">
        <v>90000</v>
      </c>
      <c r="H2">
        <v>12000</v>
      </c>
      <c r="I2" s="9" t="s">
        <v>80</v>
      </c>
      <c r="J2" s="8" t="s">
        <v>80</v>
      </c>
      <c r="O2" s="3"/>
      <c r="S2" t="s">
        <v>55</v>
      </c>
      <c r="U2" t="s">
        <v>56</v>
      </c>
      <c r="W2" t="s">
        <v>57</v>
      </c>
      <c r="Z2" t="s">
        <v>58</v>
      </c>
    </row>
    <row r="3" spans="1:26" x14ac:dyDescent="0.25">
      <c r="A3" s="2">
        <v>1002</v>
      </c>
      <c r="B3" t="s">
        <v>9</v>
      </c>
      <c r="C3" t="s">
        <v>29</v>
      </c>
      <c r="D3" t="s">
        <v>34</v>
      </c>
      <c r="E3" t="s">
        <v>40</v>
      </c>
      <c r="F3">
        <v>5</v>
      </c>
      <c r="G3">
        <v>5000</v>
      </c>
      <c r="H3">
        <v>1500</v>
      </c>
      <c r="I3" s="9" cm="1">
        <f t="array" ref="I3">SUMPRODUCT((MONTH(B2:B21)=1)*H2:H21)</f>
        <v>48700</v>
      </c>
      <c r="J3" s="8" cm="1">
        <f t="array" ref="J3">SUMPRODUCT((MONTH(B2:B21)=1)*G2:G21)</f>
        <v>347500</v>
      </c>
      <c r="K3" s="7"/>
    </row>
    <row r="4" spans="1:26" x14ac:dyDescent="0.25">
      <c r="A4" s="2">
        <v>1003</v>
      </c>
      <c r="B4" t="s">
        <v>10</v>
      </c>
      <c r="C4" t="s">
        <v>28</v>
      </c>
      <c r="D4" t="s">
        <v>35</v>
      </c>
      <c r="E4" t="s">
        <v>40</v>
      </c>
      <c r="F4">
        <v>3</v>
      </c>
      <c r="G4">
        <v>4500</v>
      </c>
      <c r="H4">
        <v>900</v>
      </c>
      <c r="I4" s="10" t="s">
        <v>81</v>
      </c>
      <c r="J4" s="10" t="s">
        <v>81</v>
      </c>
      <c r="K4" s="7"/>
      <c r="S4" t="s">
        <v>52</v>
      </c>
      <c r="T4" t="s">
        <v>41</v>
      </c>
      <c r="U4" t="s">
        <v>51</v>
      </c>
      <c r="V4" t="s">
        <v>53</v>
      </c>
      <c r="W4" t="s">
        <v>4</v>
      </c>
      <c r="X4" t="s">
        <v>53</v>
      </c>
      <c r="Z4">
        <f>COUNTIF(E2:E21,"electronics")</f>
        <v>12</v>
      </c>
    </row>
    <row r="5" spans="1:26" x14ac:dyDescent="0.25">
      <c r="A5" s="2">
        <v>1004</v>
      </c>
      <c r="B5" t="s">
        <v>11</v>
      </c>
      <c r="C5" t="s">
        <v>30</v>
      </c>
      <c r="D5" t="s">
        <v>36</v>
      </c>
      <c r="E5" t="s">
        <v>39</v>
      </c>
      <c r="F5">
        <v>2</v>
      </c>
      <c r="G5">
        <v>30000</v>
      </c>
      <c r="H5">
        <v>4000</v>
      </c>
      <c r="I5" s="9" cm="1">
        <f t="array" ref="I5">SUMPRODUCT((MONTH(B2:B21)=2)*H2:H21)</f>
        <v>39800</v>
      </c>
      <c r="J5" s="9" cm="1">
        <f t="array" ref="J5">SUMPRODUCT((MONTH(B2:B21)=2)*G2:G21)</f>
        <v>269500</v>
      </c>
      <c r="K5" s="7"/>
      <c r="M5" t="s">
        <v>41</v>
      </c>
      <c r="N5" t="s">
        <v>42</v>
      </c>
      <c r="O5" t="s">
        <v>43</v>
      </c>
      <c r="P5" t="s">
        <v>44</v>
      </c>
      <c r="Q5" t="s">
        <v>59</v>
      </c>
    </row>
    <row r="6" spans="1:26" x14ac:dyDescent="0.25">
      <c r="A6" s="2">
        <v>1005</v>
      </c>
      <c r="B6" t="s">
        <v>12</v>
      </c>
      <c r="C6" t="s">
        <v>31</v>
      </c>
      <c r="D6" t="s">
        <v>33</v>
      </c>
      <c r="E6" t="s">
        <v>39</v>
      </c>
      <c r="F6">
        <v>1</v>
      </c>
      <c r="G6">
        <v>45000</v>
      </c>
      <c r="H6">
        <v>6000</v>
      </c>
      <c r="I6" s="9"/>
      <c r="K6" s="7"/>
      <c r="S6" t="s">
        <v>28</v>
      </c>
      <c r="T6">
        <f>SUMIF(C2:C21,"chennai",G2:G21)</f>
        <v>224000</v>
      </c>
      <c r="U6" t="s">
        <v>54</v>
      </c>
      <c r="V6">
        <f>SUMIF(D2:D21,"laptop",G2:G21)</f>
        <v>405000</v>
      </c>
      <c r="W6" t="s">
        <v>39</v>
      </c>
      <c r="X6">
        <f>SUMIF(E2:E21,"Electronics",G2:G21)</f>
        <v>570000</v>
      </c>
    </row>
    <row r="7" spans="1:26" x14ac:dyDescent="0.25">
      <c r="A7" s="2">
        <v>1006</v>
      </c>
      <c r="B7" t="s">
        <v>13</v>
      </c>
      <c r="C7" t="s">
        <v>28</v>
      </c>
      <c r="D7" t="s">
        <v>37</v>
      </c>
      <c r="E7" t="s">
        <v>40</v>
      </c>
      <c r="F7">
        <v>4</v>
      </c>
      <c r="G7">
        <v>8000</v>
      </c>
      <c r="H7">
        <v>2000</v>
      </c>
      <c r="K7" s="7"/>
      <c r="M7">
        <f>SUM(G2:G21)</f>
        <v>617000</v>
      </c>
      <c r="N7">
        <f>SUM(H2:H21)</f>
        <v>88500</v>
      </c>
      <c r="O7">
        <f>AVERAGE(G2:G21)</f>
        <v>30850</v>
      </c>
      <c r="P7">
        <f>AVERAGE(H2:H21)</f>
        <v>4425</v>
      </c>
      <c r="Q7">
        <f>COUNTA(A2:A21)</f>
        <v>20</v>
      </c>
      <c r="S7" t="s">
        <v>29</v>
      </c>
      <c r="T7">
        <f>SUMIF(C2:C21,"coimbatore",G2:G21)</f>
        <v>107000</v>
      </c>
      <c r="U7" t="s">
        <v>34</v>
      </c>
      <c r="V7">
        <f>SUMIF(D2:D21,"mouse",G2:G21)</f>
        <v>15000</v>
      </c>
      <c r="W7" t="s">
        <v>40</v>
      </c>
      <c r="X7">
        <f>SUMIF(E2:E21,"accessories",G2:G21)</f>
        <v>47000</v>
      </c>
    </row>
    <row r="8" spans="1:26" x14ac:dyDescent="0.25">
      <c r="A8" s="2">
        <v>1007</v>
      </c>
      <c r="B8" t="s">
        <v>14</v>
      </c>
      <c r="C8" t="s">
        <v>32</v>
      </c>
      <c r="D8" t="s">
        <v>38</v>
      </c>
      <c r="E8" t="s">
        <v>39</v>
      </c>
      <c r="F8">
        <v>2</v>
      </c>
      <c r="G8">
        <v>24000</v>
      </c>
      <c r="H8">
        <v>3500</v>
      </c>
      <c r="K8" s="7"/>
      <c r="S8" t="s">
        <v>30</v>
      </c>
      <c r="T8">
        <f>SUMIF(C2:C21,"madurai",G2:G21)</f>
        <v>93000</v>
      </c>
      <c r="U8" t="s">
        <v>35</v>
      </c>
      <c r="V8">
        <f>SUMIF(D2:D21,"keyboard",G2:G21)</f>
        <v>18000</v>
      </c>
    </row>
    <row r="9" spans="1:26" x14ac:dyDescent="0.25">
      <c r="A9" s="2">
        <v>1008</v>
      </c>
      <c r="B9" t="s">
        <v>15</v>
      </c>
      <c r="C9" t="s">
        <v>29</v>
      </c>
      <c r="D9" t="s">
        <v>33</v>
      </c>
      <c r="E9" t="s">
        <v>39</v>
      </c>
      <c r="F9">
        <v>2</v>
      </c>
      <c r="G9">
        <v>90000</v>
      </c>
      <c r="H9">
        <v>11000</v>
      </c>
      <c r="K9" s="7"/>
      <c r="S9" t="s">
        <v>31</v>
      </c>
      <c r="T9">
        <f>SUMIF(C2:C21,"salem",G2:G21)</f>
        <v>94000</v>
      </c>
      <c r="U9" t="s">
        <v>36</v>
      </c>
      <c r="V9">
        <f>SUMIF(D2:D21,"monitor",G2:G21)</f>
        <v>105000</v>
      </c>
    </row>
    <row r="10" spans="1:26" x14ac:dyDescent="0.25">
      <c r="A10" s="2">
        <v>1009</v>
      </c>
      <c r="B10" t="s">
        <v>16</v>
      </c>
      <c r="C10" t="s">
        <v>30</v>
      </c>
      <c r="D10" t="s">
        <v>34</v>
      </c>
      <c r="E10" t="s">
        <v>40</v>
      </c>
      <c r="F10">
        <v>6</v>
      </c>
      <c r="G10">
        <v>6000</v>
      </c>
      <c r="H10">
        <v>1800</v>
      </c>
      <c r="K10" s="7"/>
      <c r="S10" t="s">
        <v>49</v>
      </c>
      <c r="T10">
        <f>SUMIF(C2:C21,"trichy",G2:G21)</f>
        <v>99000</v>
      </c>
      <c r="U10" t="s">
        <v>37</v>
      </c>
      <c r="V10">
        <f>SUMIF(D2:D21,"headset",G2:G21)</f>
        <v>14000</v>
      </c>
    </row>
    <row r="11" spans="1:26" x14ac:dyDescent="0.25">
      <c r="A11" s="2">
        <v>1010</v>
      </c>
      <c r="B11" t="s">
        <v>17</v>
      </c>
      <c r="C11" t="s">
        <v>31</v>
      </c>
      <c r="D11" t="s">
        <v>36</v>
      </c>
      <c r="E11" t="s">
        <v>39</v>
      </c>
      <c r="F11">
        <v>3</v>
      </c>
      <c r="G11">
        <v>45000</v>
      </c>
      <c r="H11">
        <v>6000</v>
      </c>
      <c r="K11" s="7"/>
      <c r="M11" t="s">
        <v>45</v>
      </c>
      <c r="N11" t="s">
        <v>46</v>
      </c>
      <c r="O11" t="s">
        <v>47</v>
      </c>
      <c r="P11" t="s">
        <v>48</v>
      </c>
      <c r="U11" t="s">
        <v>38</v>
      </c>
      <c r="V11">
        <f>SUMIF(D2:D21,"printer",G2:G21)</f>
        <v>60000</v>
      </c>
    </row>
    <row r="12" spans="1:26" x14ac:dyDescent="0.25">
      <c r="A12" s="2">
        <v>1011</v>
      </c>
      <c r="B12" t="s">
        <v>18</v>
      </c>
      <c r="C12" t="s">
        <v>28</v>
      </c>
      <c r="D12" t="s">
        <v>35</v>
      </c>
      <c r="E12" t="s">
        <v>40</v>
      </c>
      <c r="F12">
        <v>5</v>
      </c>
      <c r="G12">
        <v>7500</v>
      </c>
      <c r="H12">
        <v>1500</v>
      </c>
      <c r="K12" s="7"/>
      <c r="S12" t="s">
        <v>61</v>
      </c>
      <c r="U12" t="s">
        <v>61</v>
      </c>
      <c r="W12" t="s">
        <v>61</v>
      </c>
    </row>
    <row r="13" spans="1:26" x14ac:dyDescent="0.25">
      <c r="A13" s="2">
        <v>1012</v>
      </c>
      <c r="B13" t="s">
        <v>19</v>
      </c>
      <c r="C13" t="s">
        <v>32</v>
      </c>
      <c r="D13" t="s">
        <v>33</v>
      </c>
      <c r="E13" t="s">
        <v>39</v>
      </c>
      <c r="F13">
        <v>1</v>
      </c>
      <c r="G13">
        <v>45000</v>
      </c>
      <c r="H13">
        <v>5500</v>
      </c>
      <c r="K13" s="7"/>
      <c r="M13">
        <f>MIN(G2:G21)</f>
        <v>4000</v>
      </c>
      <c r="N13">
        <f>MAX(G2:G21)</f>
        <v>90000</v>
      </c>
      <c r="O13">
        <f>MIN(H2:H21)</f>
        <v>900</v>
      </c>
      <c r="P13">
        <f>MAX(H2:H21)</f>
        <v>13000</v>
      </c>
      <c r="S13" t="s">
        <v>52</v>
      </c>
      <c r="T13" t="s">
        <v>50</v>
      </c>
      <c r="U13" t="s">
        <v>60</v>
      </c>
      <c r="V13" t="s">
        <v>50</v>
      </c>
      <c r="W13" t="s">
        <v>4</v>
      </c>
      <c r="X13" t="s">
        <v>50</v>
      </c>
    </row>
    <row r="14" spans="1:26" x14ac:dyDescent="0.25">
      <c r="A14" s="2">
        <v>1013</v>
      </c>
      <c r="B14" t="s">
        <v>20</v>
      </c>
      <c r="C14" t="s">
        <v>29</v>
      </c>
      <c r="D14" t="s">
        <v>37</v>
      </c>
      <c r="E14" t="s">
        <v>40</v>
      </c>
      <c r="F14">
        <v>3</v>
      </c>
      <c r="G14">
        <v>6000</v>
      </c>
      <c r="H14">
        <v>1400</v>
      </c>
      <c r="K14" s="7"/>
    </row>
    <row r="15" spans="1:26" x14ac:dyDescent="0.25">
      <c r="A15" s="2">
        <v>1014</v>
      </c>
      <c r="B15" t="s">
        <v>21</v>
      </c>
      <c r="C15" t="s">
        <v>30</v>
      </c>
      <c r="D15" t="s">
        <v>38</v>
      </c>
      <c r="E15" t="s">
        <v>39</v>
      </c>
      <c r="F15">
        <v>1</v>
      </c>
      <c r="G15">
        <v>12000</v>
      </c>
      <c r="H15">
        <v>1800</v>
      </c>
      <c r="K15" s="7"/>
      <c r="S15" t="s">
        <v>28</v>
      </c>
      <c r="T15">
        <f>SUMIF(C2:C21,"chennai",H2:H21)</f>
        <v>32600</v>
      </c>
      <c r="U15" t="s">
        <v>54</v>
      </c>
      <c r="V15">
        <f>SUMIF(D3:D21,"laptop",H2:H21)</f>
        <v>12000</v>
      </c>
      <c r="W15" t="s">
        <v>39</v>
      </c>
      <c r="X15">
        <f>SUMIF(E2:E21,"electronics",H2:H21)</f>
        <v>77000</v>
      </c>
    </row>
    <row r="16" spans="1:26" x14ac:dyDescent="0.25">
      <c r="A16" s="2">
        <v>1015</v>
      </c>
      <c r="B16" t="s">
        <v>22</v>
      </c>
      <c r="C16" t="s">
        <v>28</v>
      </c>
      <c r="D16" t="s">
        <v>33</v>
      </c>
      <c r="E16" t="s">
        <v>39</v>
      </c>
      <c r="F16">
        <v>2</v>
      </c>
      <c r="G16">
        <v>90000</v>
      </c>
      <c r="H16">
        <v>13000</v>
      </c>
      <c r="K16" s="7"/>
      <c r="S16" t="s">
        <v>29</v>
      </c>
      <c r="T16">
        <f>SUMIF(C2:C21,"coimbatore",H2:H21)</f>
        <v>15100</v>
      </c>
      <c r="U16" t="s">
        <v>34</v>
      </c>
      <c r="V16">
        <f>SUMIF(D2:D21,"mouse",H1:H21)</f>
        <v>36000</v>
      </c>
      <c r="W16" t="s">
        <v>40</v>
      </c>
      <c r="X16">
        <f>SUMIF(E2:E21,"accessories",H2:H21)</f>
        <v>11500</v>
      </c>
    </row>
    <row r="17" spans="1:25" x14ac:dyDescent="0.25">
      <c r="A17" s="2">
        <v>1016</v>
      </c>
      <c r="B17" t="s">
        <v>23</v>
      </c>
      <c r="C17" t="s">
        <v>31</v>
      </c>
      <c r="D17" t="s">
        <v>34</v>
      </c>
      <c r="E17" t="s">
        <v>40</v>
      </c>
      <c r="F17">
        <v>4</v>
      </c>
      <c r="G17">
        <v>4000</v>
      </c>
      <c r="H17">
        <v>1200</v>
      </c>
      <c r="K17" s="7"/>
      <c r="S17" t="s">
        <v>30</v>
      </c>
      <c r="T17">
        <f>SUMIF(C2:C21,"madurai",H2:H21)</f>
        <v>14100</v>
      </c>
      <c r="U17" t="s">
        <v>35</v>
      </c>
      <c r="V17">
        <f>SUMIF(D2:D21,"keyboard",H2:H21)</f>
        <v>3600</v>
      </c>
    </row>
    <row r="18" spans="1:25" x14ac:dyDescent="0.25">
      <c r="A18" s="2">
        <v>1017</v>
      </c>
      <c r="B18" t="s">
        <v>24</v>
      </c>
      <c r="C18" t="s">
        <v>32</v>
      </c>
      <c r="D18" t="s">
        <v>36</v>
      </c>
      <c r="E18" t="s">
        <v>39</v>
      </c>
      <c r="F18">
        <v>2</v>
      </c>
      <c r="G18">
        <v>30000</v>
      </c>
      <c r="H18">
        <v>4500</v>
      </c>
      <c r="K18" s="7"/>
      <c r="S18" t="s">
        <v>31</v>
      </c>
      <c r="T18">
        <f>SUMIF(C2:C21,"salem",H2:H21)</f>
        <v>13200</v>
      </c>
      <c r="U18" t="s">
        <v>36</v>
      </c>
      <c r="V18">
        <f>SUMIF(D2:D21,"monitor",H2:H21)</f>
        <v>14500</v>
      </c>
    </row>
    <row r="19" spans="1:25" x14ac:dyDescent="0.25">
      <c r="A19" s="2">
        <v>1018</v>
      </c>
      <c r="B19" t="s">
        <v>25</v>
      </c>
      <c r="C19" t="s">
        <v>28</v>
      </c>
      <c r="D19" t="s">
        <v>38</v>
      </c>
      <c r="E19" t="s">
        <v>39</v>
      </c>
      <c r="F19">
        <v>2</v>
      </c>
      <c r="G19">
        <v>24000</v>
      </c>
      <c r="H19">
        <v>3200</v>
      </c>
      <c r="K19" s="7"/>
      <c r="S19" t="s">
        <v>49</v>
      </c>
      <c r="T19">
        <f>SUMIF(C2:C21,"trichy",H2:H21)</f>
        <v>13500</v>
      </c>
      <c r="U19" t="s">
        <v>37</v>
      </c>
      <c r="V19">
        <f>SUMIF(D2:D21,"headset",H2:H21)</f>
        <v>3400</v>
      </c>
    </row>
    <row r="20" spans="1:25" x14ac:dyDescent="0.25">
      <c r="A20" s="2">
        <v>1019</v>
      </c>
      <c r="B20" t="s">
        <v>26</v>
      </c>
      <c r="C20" t="s">
        <v>29</v>
      </c>
      <c r="D20" t="s">
        <v>35</v>
      </c>
      <c r="E20" t="s">
        <v>40</v>
      </c>
      <c r="F20">
        <v>4</v>
      </c>
      <c r="G20">
        <v>6000</v>
      </c>
      <c r="H20">
        <v>1200</v>
      </c>
      <c r="K20" s="7"/>
      <c r="U20" t="s">
        <v>38</v>
      </c>
      <c r="V20">
        <f>SUMIF(D2:D21,"printer",H2:H21)</f>
        <v>8500</v>
      </c>
    </row>
    <row r="21" spans="1:25" x14ac:dyDescent="0.25">
      <c r="A21" s="2">
        <v>1020</v>
      </c>
      <c r="B21" t="s">
        <v>27</v>
      </c>
      <c r="C21" t="s">
        <v>30</v>
      </c>
      <c r="D21" t="s">
        <v>33</v>
      </c>
      <c r="E21" t="s">
        <v>39</v>
      </c>
      <c r="F21">
        <v>1</v>
      </c>
      <c r="G21">
        <v>45000</v>
      </c>
      <c r="H21">
        <v>6500</v>
      </c>
      <c r="K21" s="7"/>
    </row>
    <row r="22" spans="1:25" x14ac:dyDescent="0.25">
      <c r="K22" s="6"/>
      <c r="S22" t="s">
        <v>62</v>
      </c>
      <c r="U22" t="s">
        <v>64</v>
      </c>
      <c r="W22" t="s">
        <v>67</v>
      </c>
    </row>
    <row r="23" spans="1:25" x14ac:dyDescent="0.25">
      <c r="K23" s="6"/>
    </row>
    <row r="24" spans="1:25" x14ac:dyDescent="0.25">
      <c r="K24" s="6"/>
      <c r="S24" t="s">
        <v>52</v>
      </c>
      <c r="T24" t="s">
        <v>63</v>
      </c>
      <c r="U24" t="s">
        <v>63</v>
      </c>
      <c r="V24" t="s">
        <v>60</v>
      </c>
      <c r="W24" t="s">
        <v>65</v>
      </c>
      <c r="X24" t="s">
        <v>4</v>
      </c>
      <c r="Y24" t="s">
        <v>68</v>
      </c>
    </row>
    <row r="25" spans="1:25" x14ac:dyDescent="0.25">
      <c r="K25" s="6"/>
    </row>
    <row r="26" spans="1:25" x14ac:dyDescent="0.25">
      <c r="K26" s="6"/>
      <c r="S26" t="s">
        <v>28</v>
      </c>
      <c r="U26">
        <f>SUMIF(C2:C21,"chennai",F2:F21)</f>
        <v>18</v>
      </c>
      <c r="V26" t="s">
        <v>54</v>
      </c>
      <c r="W26">
        <f>SUMIF(D2:D21,"laptop",F1:F21)</f>
        <v>14</v>
      </c>
      <c r="X26" t="s">
        <v>39</v>
      </c>
      <c r="Y26">
        <f>SUMIF(E2:E21,"electronics",F2:F21)</f>
        <v>21</v>
      </c>
    </row>
    <row r="27" spans="1:25" x14ac:dyDescent="0.25">
      <c r="K27" s="6"/>
      <c r="S27" t="s">
        <v>29</v>
      </c>
      <c r="U27">
        <f>SUMIF(C2:C21,"coimbatore",F2:F21)</f>
        <v>14</v>
      </c>
      <c r="V27" t="s">
        <v>34</v>
      </c>
      <c r="W27">
        <f>SUMIF(D2:D21,"mouse",F2:F21)</f>
        <v>15</v>
      </c>
      <c r="X27" t="s">
        <v>40</v>
      </c>
      <c r="Y27">
        <f>SUMIF(E2:E21,"accessories",F2:F21)</f>
        <v>34</v>
      </c>
    </row>
    <row r="28" spans="1:25" x14ac:dyDescent="0.25">
      <c r="K28" s="6"/>
      <c r="S28" t="s">
        <v>30</v>
      </c>
      <c r="U28">
        <f>SUMIF(C2:C21,"madurai",F2:F21)</f>
        <v>10</v>
      </c>
      <c r="V28" t="s">
        <v>35</v>
      </c>
      <c r="W28">
        <f>SUMIF(D2:D21,"keyboard",F2:F21)</f>
        <v>12</v>
      </c>
    </row>
    <row r="29" spans="1:25" x14ac:dyDescent="0.25">
      <c r="K29" s="6"/>
      <c r="S29" t="s">
        <v>31</v>
      </c>
      <c r="T29">
        <f>SUMIF(C2:C21,"salem",F2:F21)</f>
        <v>8</v>
      </c>
      <c r="U29" t="s">
        <v>36</v>
      </c>
      <c r="V29">
        <f>SUMIF(D2:D21,"monitor",F2:F21)</f>
        <v>7</v>
      </c>
    </row>
    <row r="30" spans="1:25" x14ac:dyDescent="0.25">
      <c r="K30" s="6"/>
      <c r="S30" t="s">
        <v>49</v>
      </c>
      <c r="T30">
        <f>SUMIF(C2:C21,"trichy",F2:F21)</f>
        <v>5</v>
      </c>
      <c r="U30" t="s">
        <v>37</v>
      </c>
      <c r="V30">
        <f>SUMIF(D2:D21,"headset",F2:F21)</f>
        <v>7</v>
      </c>
    </row>
    <row r="31" spans="1:25" x14ac:dyDescent="0.25">
      <c r="K31" s="6"/>
      <c r="U31" t="s">
        <v>38</v>
      </c>
      <c r="V31">
        <f>SUMIF(D2:D21,"printer",F2:F21)</f>
        <v>5</v>
      </c>
    </row>
    <row r="32" spans="1:25" x14ac:dyDescent="0.25">
      <c r="K32" s="6"/>
      <c r="V32" t="s">
        <v>66</v>
      </c>
    </row>
    <row r="33" spans="5:24" x14ac:dyDescent="0.25">
      <c r="K33" s="6"/>
      <c r="S33" t="s">
        <v>69</v>
      </c>
      <c r="U33" t="s">
        <v>73</v>
      </c>
    </row>
    <row r="34" spans="5:24" x14ac:dyDescent="0.25">
      <c r="K34" s="6"/>
    </row>
    <row r="35" spans="5:24" x14ac:dyDescent="0.25">
      <c r="K35" s="6"/>
      <c r="S35">
        <f>CORREL(F2:F21,G2:G21)</f>
        <v>-0.54617183244096701</v>
      </c>
      <c r="U35" t="s">
        <v>74</v>
      </c>
    </row>
    <row r="36" spans="5:24" x14ac:dyDescent="0.25">
      <c r="K36" s="6"/>
      <c r="S36" t="s">
        <v>71</v>
      </c>
      <c r="U36" t="s">
        <v>75</v>
      </c>
      <c r="V36" t="str">
        <f>TEXT(B2,"mmm")</f>
        <v>Jan</v>
      </c>
    </row>
    <row r="37" spans="5:24" x14ac:dyDescent="0.25">
      <c r="K37" s="6"/>
    </row>
    <row r="38" spans="5:24" x14ac:dyDescent="0.25">
      <c r="K38" s="6"/>
      <c r="S38" t="s">
        <v>70</v>
      </c>
    </row>
    <row r="39" spans="5:24" x14ac:dyDescent="0.25">
      <c r="K39" s="6"/>
    </row>
    <row r="40" spans="5:24" x14ac:dyDescent="0.25">
      <c r="K40" s="6"/>
      <c r="S40">
        <f>CORREL(G2:G21,H2:H21)</f>
        <v>0.99303082435014989</v>
      </c>
    </row>
    <row r="41" spans="5:24" x14ac:dyDescent="0.25">
      <c r="K41" s="6"/>
      <c r="S41" t="s">
        <v>72</v>
      </c>
    </row>
    <row r="42" spans="5:24" x14ac:dyDescent="0.25">
      <c r="K42" s="6"/>
    </row>
    <row r="43" spans="5:24" x14ac:dyDescent="0.25">
      <c r="E43" s="11" t="s">
        <v>82</v>
      </c>
      <c r="J43" s="11" t="s">
        <v>73</v>
      </c>
      <c r="K43" s="6"/>
      <c r="N43" t="s">
        <v>77</v>
      </c>
      <c r="S43" t="s">
        <v>78</v>
      </c>
      <c r="W43" t="s">
        <v>57</v>
      </c>
      <c r="X43" t="s">
        <v>79</v>
      </c>
    </row>
    <row r="44" spans="5:24" x14ac:dyDescent="0.25">
      <c r="K44" s="6"/>
    </row>
    <row r="45" spans="5:24" x14ac:dyDescent="0.25">
      <c r="K45" s="6"/>
    </row>
    <row r="46" spans="5:24" x14ac:dyDescent="0.25">
      <c r="K46" s="6"/>
    </row>
    <row r="47" spans="5:24" x14ac:dyDescent="0.25">
      <c r="K47" s="6"/>
    </row>
    <row r="48" spans="5:24" x14ac:dyDescent="0.25">
      <c r="K48" s="6"/>
    </row>
    <row r="49" spans="10:15" x14ac:dyDescent="0.25">
      <c r="K49" s="6"/>
    </row>
    <row r="50" spans="10:15" x14ac:dyDescent="0.25">
      <c r="K50" s="6"/>
    </row>
    <row r="51" spans="10:15" x14ac:dyDescent="0.25">
      <c r="K51" s="6"/>
    </row>
    <row r="52" spans="10:15" x14ac:dyDescent="0.25">
      <c r="K52" s="6"/>
    </row>
    <row r="53" spans="10:15" x14ac:dyDescent="0.25">
      <c r="K53" s="6"/>
    </row>
    <row r="54" spans="10:15" x14ac:dyDescent="0.25">
      <c r="K54" s="6"/>
    </row>
    <row r="55" spans="10:15" x14ac:dyDescent="0.25">
      <c r="K55" s="6"/>
    </row>
    <row r="56" spans="10:15" x14ac:dyDescent="0.25">
      <c r="K56" s="6"/>
    </row>
    <row r="57" spans="10:15" x14ac:dyDescent="0.25">
      <c r="K57" s="6"/>
    </row>
    <row r="58" spans="10:15" x14ac:dyDescent="0.25">
      <c r="K58" s="6"/>
    </row>
    <row r="59" spans="10:15" x14ac:dyDescent="0.25">
      <c r="K59" s="6"/>
    </row>
    <row r="60" spans="10:15" x14ac:dyDescent="0.25">
      <c r="K60" s="6"/>
    </row>
    <row r="61" spans="10:15" x14ac:dyDescent="0.25">
      <c r="J61" t="s">
        <v>83</v>
      </c>
      <c r="K61" s="6"/>
    </row>
    <row r="62" spans="10:15" x14ac:dyDescent="0.25">
      <c r="K62" s="6"/>
    </row>
    <row r="63" spans="10:15" x14ac:dyDescent="0.25">
      <c r="K63" s="6"/>
      <c r="O63" t="s">
        <v>84</v>
      </c>
    </row>
    <row r="64" spans="10:15" x14ac:dyDescent="0.25">
      <c r="K64" s="6"/>
    </row>
    <row r="65" spans="11:22" ht="21" x14ac:dyDescent="0.35">
      <c r="K65" s="6"/>
      <c r="O65" s="12" t="s">
        <v>85</v>
      </c>
      <c r="P65" s="13">
        <v>617000</v>
      </c>
      <c r="Q65" s="12" t="s">
        <v>86</v>
      </c>
      <c r="R65" s="13">
        <v>88500</v>
      </c>
      <c r="S65" s="14" t="s">
        <v>87</v>
      </c>
      <c r="T65" s="13">
        <v>30850</v>
      </c>
      <c r="U65" s="14" t="s">
        <v>88</v>
      </c>
      <c r="V65" s="13">
        <v>20</v>
      </c>
    </row>
    <row r="66" spans="11:22" x14ac:dyDescent="0.25">
      <c r="K66" s="6"/>
    </row>
    <row r="67" spans="11:22" x14ac:dyDescent="0.25">
      <c r="K67" s="6"/>
    </row>
    <row r="68" spans="11:22" x14ac:dyDescent="0.25">
      <c r="K68" s="6"/>
    </row>
    <row r="69" spans="11:22" x14ac:dyDescent="0.25">
      <c r="K69" s="6"/>
    </row>
    <row r="70" spans="11:22" x14ac:dyDescent="0.25">
      <c r="K70" s="6"/>
    </row>
    <row r="71" spans="11:22" x14ac:dyDescent="0.25">
      <c r="K71" s="6"/>
    </row>
    <row r="72" spans="11:22" x14ac:dyDescent="0.25">
      <c r="K72" s="6"/>
    </row>
    <row r="73" spans="11:22" x14ac:dyDescent="0.25">
      <c r="K73" s="6"/>
    </row>
    <row r="74" spans="11:22" x14ac:dyDescent="0.25">
      <c r="K74" s="6"/>
    </row>
    <row r="75" spans="11:22" x14ac:dyDescent="0.25">
      <c r="K75" s="6"/>
    </row>
    <row r="76" spans="11:22" x14ac:dyDescent="0.25">
      <c r="K76" s="6"/>
    </row>
    <row r="77" spans="11:22" x14ac:dyDescent="0.25">
      <c r="K77" s="6"/>
    </row>
    <row r="78" spans="11:22" x14ac:dyDescent="0.25">
      <c r="K78" s="6"/>
    </row>
    <row r="79" spans="11:22" x14ac:dyDescent="0.25">
      <c r="K79" s="6"/>
    </row>
    <row r="80" spans="11:22" x14ac:dyDescent="0.25">
      <c r="K80" s="6"/>
    </row>
    <row r="81" spans="11:11" x14ac:dyDescent="0.25">
      <c r="K81" s="6"/>
    </row>
    <row r="82" spans="11:11" x14ac:dyDescent="0.25">
      <c r="K82" s="6"/>
    </row>
    <row r="83" spans="11:11" x14ac:dyDescent="0.25">
      <c r="K83" s="6"/>
    </row>
    <row r="84" spans="11:11" x14ac:dyDescent="0.25">
      <c r="K84" s="6"/>
    </row>
    <row r="85" spans="11:11" x14ac:dyDescent="0.25">
      <c r="K85" s="6"/>
    </row>
    <row r="86" spans="11:11" x14ac:dyDescent="0.25">
      <c r="K86" s="6"/>
    </row>
    <row r="87" spans="11:11" x14ac:dyDescent="0.25">
      <c r="K87" s="6"/>
    </row>
    <row r="88" spans="11:11" x14ac:dyDescent="0.25">
      <c r="K88" s="6"/>
    </row>
    <row r="89" spans="11:11" x14ac:dyDescent="0.25">
      <c r="K89" s="6"/>
    </row>
    <row r="90" spans="11:11" x14ac:dyDescent="0.25">
      <c r="K90" s="6"/>
    </row>
    <row r="91" spans="11:11" x14ac:dyDescent="0.25">
      <c r="K91" s="6"/>
    </row>
    <row r="92" spans="11:11" x14ac:dyDescent="0.25">
      <c r="K92" s="6"/>
    </row>
    <row r="93" spans="11:11" x14ac:dyDescent="0.25">
      <c r="K93" s="6"/>
    </row>
    <row r="94" spans="11:11" x14ac:dyDescent="0.25">
      <c r="K94" s="6"/>
    </row>
    <row r="95" spans="11:11" x14ac:dyDescent="0.25">
      <c r="K95" s="6"/>
    </row>
    <row r="96" spans="11:11" x14ac:dyDescent="0.25">
      <c r="K96" s="6"/>
    </row>
    <row r="97" spans="11:11" x14ac:dyDescent="0.25">
      <c r="K97" s="6"/>
    </row>
    <row r="98" spans="11:11" x14ac:dyDescent="0.25">
      <c r="K98" s="6"/>
    </row>
    <row r="99" spans="11:11" x14ac:dyDescent="0.25">
      <c r="K99" s="6"/>
    </row>
    <row r="100" spans="11:11" x14ac:dyDescent="0.25">
      <c r="K100" s="6"/>
    </row>
    <row r="101" spans="11:11" x14ac:dyDescent="0.25">
      <c r="K101" s="6"/>
    </row>
    <row r="102" spans="11:11" x14ac:dyDescent="0.25">
      <c r="K102" s="6"/>
    </row>
    <row r="103" spans="11:11" x14ac:dyDescent="0.25">
      <c r="K103" s="6"/>
    </row>
    <row r="104" spans="11:11" x14ac:dyDescent="0.25">
      <c r="K104" s="6"/>
    </row>
    <row r="105" spans="11:11" x14ac:dyDescent="0.25">
      <c r="K105" s="6"/>
    </row>
    <row r="106" spans="11:11" x14ac:dyDescent="0.25">
      <c r="K106" s="6"/>
    </row>
    <row r="107" spans="11:11" x14ac:dyDescent="0.25">
      <c r="K107" s="6"/>
    </row>
    <row r="108" spans="11:11" x14ac:dyDescent="0.25">
      <c r="K108" s="6"/>
    </row>
    <row r="109" spans="11:11" x14ac:dyDescent="0.25">
      <c r="K109" s="6"/>
    </row>
    <row r="110" spans="11:11" x14ac:dyDescent="0.25">
      <c r="K110" s="6"/>
    </row>
    <row r="111" spans="11:11" x14ac:dyDescent="0.25">
      <c r="K111" s="6"/>
    </row>
    <row r="112" spans="11:11" x14ac:dyDescent="0.25">
      <c r="K112" s="6"/>
    </row>
    <row r="113" spans="11:11" x14ac:dyDescent="0.25">
      <c r="K113" s="6"/>
    </row>
    <row r="114" spans="11:11" x14ac:dyDescent="0.25">
      <c r="K114" s="6"/>
    </row>
    <row r="115" spans="11:11" x14ac:dyDescent="0.25">
      <c r="K115" s="6"/>
    </row>
    <row r="116" spans="11:11" x14ac:dyDescent="0.25">
      <c r="K116" s="6"/>
    </row>
    <row r="117" spans="11:11" x14ac:dyDescent="0.25">
      <c r="K117" s="6"/>
    </row>
    <row r="118" spans="11:11" x14ac:dyDescent="0.25">
      <c r="K118" s="6"/>
    </row>
    <row r="119" spans="11:11" x14ac:dyDescent="0.25">
      <c r="K119" s="6"/>
    </row>
    <row r="120" spans="11:11" x14ac:dyDescent="0.25">
      <c r="K120" s="6"/>
    </row>
    <row r="121" spans="11:11" x14ac:dyDescent="0.25">
      <c r="K121" s="6"/>
    </row>
    <row r="122" spans="11:11" x14ac:dyDescent="0.25">
      <c r="K122" s="6"/>
    </row>
    <row r="123" spans="11:11" x14ac:dyDescent="0.25">
      <c r="K123" s="6"/>
    </row>
    <row r="124" spans="11:11" x14ac:dyDescent="0.25">
      <c r="K124" s="6"/>
    </row>
    <row r="125" spans="11:11" x14ac:dyDescent="0.25">
      <c r="K125" s="6"/>
    </row>
    <row r="126" spans="11:11" x14ac:dyDescent="0.25">
      <c r="K126" s="6"/>
    </row>
    <row r="127" spans="11:11" x14ac:dyDescent="0.25">
      <c r="K127" s="6"/>
    </row>
    <row r="128" spans="11:11" x14ac:dyDescent="0.25">
      <c r="K128" s="6"/>
    </row>
    <row r="129" spans="11:11" x14ac:dyDescent="0.25">
      <c r="K129" s="6"/>
    </row>
    <row r="130" spans="11:11" x14ac:dyDescent="0.25">
      <c r="K130" s="6"/>
    </row>
    <row r="131" spans="11:11" x14ac:dyDescent="0.25">
      <c r="K131" s="6"/>
    </row>
    <row r="132" spans="11:11" x14ac:dyDescent="0.25">
      <c r="K132" s="6"/>
    </row>
    <row r="133" spans="11:11" x14ac:dyDescent="0.25">
      <c r="K133" s="6"/>
    </row>
    <row r="134" spans="11:11" x14ac:dyDescent="0.25">
      <c r="K134" s="6"/>
    </row>
    <row r="135" spans="11:11" x14ac:dyDescent="0.25">
      <c r="K135" s="6"/>
    </row>
    <row r="136" spans="11:11" x14ac:dyDescent="0.25">
      <c r="K136" s="6"/>
    </row>
    <row r="137" spans="11:11" x14ac:dyDescent="0.25">
      <c r="K137" s="6"/>
    </row>
    <row r="138" spans="11:11" x14ac:dyDescent="0.25">
      <c r="K138" s="6"/>
    </row>
    <row r="139" spans="11:11" x14ac:dyDescent="0.25">
      <c r="K139" s="6"/>
    </row>
    <row r="140" spans="11:11" x14ac:dyDescent="0.25">
      <c r="K140" s="6"/>
    </row>
    <row r="141" spans="11:11" x14ac:dyDescent="0.25">
      <c r="K141" s="6"/>
    </row>
    <row r="142" spans="11:11" x14ac:dyDescent="0.25">
      <c r="K142" s="6"/>
    </row>
    <row r="143" spans="11:11" x14ac:dyDescent="0.25">
      <c r="K143" s="6"/>
    </row>
    <row r="144" spans="11:11" x14ac:dyDescent="0.25">
      <c r="K144" s="6"/>
    </row>
    <row r="145" spans="11:11" x14ac:dyDescent="0.25">
      <c r="K145" s="6"/>
    </row>
    <row r="146" spans="11:11" x14ac:dyDescent="0.25">
      <c r="K146" s="6"/>
    </row>
    <row r="147" spans="11:11" x14ac:dyDescent="0.25">
      <c r="K147" s="6"/>
    </row>
    <row r="148" spans="11:11" x14ac:dyDescent="0.25">
      <c r="K148" s="6"/>
    </row>
    <row r="149" spans="11:11" x14ac:dyDescent="0.25">
      <c r="K149" s="6"/>
    </row>
    <row r="150" spans="11:11" x14ac:dyDescent="0.25">
      <c r="K150" s="6"/>
    </row>
    <row r="151" spans="11:11" x14ac:dyDescent="0.25">
      <c r="K151" s="6"/>
    </row>
    <row r="152" spans="11:11" x14ac:dyDescent="0.25">
      <c r="K152" s="6"/>
    </row>
    <row r="153" spans="11:11" x14ac:dyDescent="0.25">
      <c r="K153" s="6"/>
    </row>
    <row r="154" spans="11:11" x14ac:dyDescent="0.25">
      <c r="K154" s="6"/>
    </row>
    <row r="155" spans="11:11" x14ac:dyDescent="0.25">
      <c r="K155" s="6"/>
    </row>
    <row r="156" spans="11:11" x14ac:dyDescent="0.25">
      <c r="K156" s="6"/>
    </row>
    <row r="157" spans="11:11" x14ac:dyDescent="0.25">
      <c r="K157" s="6"/>
    </row>
    <row r="158" spans="11:11" x14ac:dyDescent="0.25">
      <c r="K158" s="6"/>
    </row>
    <row r="159" spans="11:11" x14ac:dyDescent="0.25">
      <c r="K159" s="6"/>
    </row>
    <row r="160" spans="11:11" x14ac:dyDescent="0.25">
      <c r="K160" s="6"/>
    </row>
    <row r="161" spans="11:11" x14ac:dyDescent="0.25">
      <c r="K161" s="6"/>
    </row>
    <row r="162" spans="11:11" x14ac:dyDescent="0.25">
      <c r="K162" s="6"/>
    </row>
    <row r="163" spans="11:11" x14ac:dyDescent="0.25">
      <c r="K163" s="6"/>
    </row>
    <row r="164" spans="11:11" x14ac:dyDescent="0.25">
      <c r="K164" s="6"/>
    </row>
    <row r="165" spans="11:11" x14ac:dyDescent="0.25">
      <c r="K165" s="6"/>
    </row>
    <row r="166" spans="11:11" x14ac:dyDescent="0.25">
      <c r="K166" s="6"/>
    </row>
    <row r="167" spans="11:11" x14ac:dyDescent="0.25">
      <c r="K167" s="6"/>
    </row>
    <row r="168" spans="11:11" x14ac:dyDescent="0.25">
      <c r="K168" s="6"/>
    </row>
    <row r="169" spans="11:11" x14ac:dyDescent="0.25">
      <c r="K169" s="6"/>
    </row>
    <row r="170" spans="11:11" x14ac:dyDescent="0.25">
      <c r="K170" s="6"/>
    </row>
    <row r="171" spans="11:11" x14ac:dyDescent="0.25">
      <c r="K171" s="6"/>
    </row>
    <row r="172" spans="11:11" x14ac:dyDescent="0.25">
      <c r="K172" s="6"/>
    </row>
    <row r="173" spans="11:11" x14ac:dyDescent="0.25">
      <c r="K173" s="6"/>
    </row>
    <row r="174" spans="11:11" x14ac:dyDescent="0.25">
      <c r="K174" s="6"/>
    </row>
    <row r="175" spans="11:11" x14ac:dyDescent="0.25">
      <c r="K175" s="6"/>
    </row>
    <row r="176" spans="11:11" x14ac:dyDescent="0.25">
      <c r="K176" s="6"/>
    </row>
    <row r="177" spans="11:11" x14ac:dyDescent="0.25">
      <c r="K177" s="6"/>
    </row>
    <row r="178" spans="11:11" x14ac:dyDescent="0.25">
      <c r="K178" s="6"/>
    </row>
    <row r="179" spans="11:11" x14ac:dyDescent="0.25">
      <c r="K179" s="6"/>
    </row>
    <row r="180" spans="11:11" x14ac:dyDescent="0.25">
      <c r="K180" s="6"/>
    </row>
    <row r="181" spans="11:11" x14ac:dyDescent="0.25">
      <c r="K181" s="6"/>
    </row>
    <row r="182" spans="11:11" x14ac:dyDescent="0.25">
      <c r="K182" s="6"/>
    </row>
    <row r="183" spans="11:11" x14ac:dyDescent="0.25">
      <c r="K183" s="6"/>
    </row>
    <row r="184" spans="11:11" x14ac:dyDescent="0.25">
      <c r="K184" s="6"/>
    </row>
    <row r="185" spans="11:11" x14ac:dyDescent="0.25">
      <c r="K185" s="6"/>
    </row>
    <row r="186" spans="11:11" x14ac:dyDescent="0.25">
      <c r="K186" s="6"/>
    </row>
    <row r="187" spans="11:11" x14ac:dyDescent="0.25">
      <c r="K187" s="6"/>
    </row>
    <row r="188" spans="11:11" x14ac:dyDescent="0.25">
      <c r="K188" s="6"/>
    </row>
    <row r="189" spans="11:11" x14ac:dyDescent="0.25">
      <c r="K189" s="6"/>
    </row>
    <row r="190" spans="11:11" x14ac:dyDescent="0.25">
      <c r="K190" s="6"/>
    </row>
    <row r="191" spans="11:11" x14ac:dyDescent="0.25">
      <c r="K191" s="6"/>
    </row>
    <row r="192" spans="11:11" x14ac:dyDescent="0.25">
      <c r="K192" s="6"/>
    </row>
    <row r="193" spans="11:11" x14ac:dyDescent="0.25">
      <c r="K193" s="6"/>
    </row>
    <row r="194" spans="11:11" x14ac:dyDescent="0.25">
      <c r="K194" s="6"/>
    </row>
    <row r="195" spans="11:11" x14ac:dyDescent="0.25">
      <c r="K195" s="6"/>
    </row>
    <row r="196" spans="11:11" x14ac:dyDescent="0.25">
      <c r="K196" s="6"/>
    </row>
    <row r="197" spans="11:11" x14ac:dyDescent="0.25">
      <c r="K197" s="6"/>
    </row>
    <row r="198" spans="11:11" x14ac:dyDescent="0.25">
      <c r="K198" s="6"/>
    </row>
    <row r="199" spans="11:11" x14ac:dyDescent="0.25">
      <c r="K199" s="6"/>
    </row>
    <row r="200" spans="11:11" x14ac:dyDescent="0.25">
      <c r="K200" s="6"/>
    </row>
    <row r="201" spans="11:11" x14ac:dyDescent="0.25">
      <c r="K201" s="6"/>
    </row>
    <row r="202" spans="11:11" x14ac:dyDescent="0.25">
      <c r="K202" s="6"/>
    </row>
    <row r="203" spans="11:11" x14ac:dyDescent="0.25">
      <c r="K203" s="6"/>
    </row>
    <row r="204" spans="11:11" x14ac:dyDescent="0.25">
      <c r="K204" s="6"/>
    </row>
    <row r="205" spans="11:11" x14ac:dyDescent="0.25">
      <c r="K205" s="6"/>
    </row>
    <row r="206" spans="11:11" x14ac:dyDescent="0.25">
      <c r="K206" s="6"/>
    </row>
    <row r="207" spans="11:11" x14ac:dyDescent="0.25">
      <c r="K207" s="6"/>
    </row>
    <row r="208" spans="11:11" x14ac:dyDescent="0.25">
      <c r="K208" s="6"/>
    </row>
    <row r="209" spans="11:11" x14ac:dyDescent="0.25">
      <c r="K209" s="6"/>
    </row>
    <row r="210" spans="11:11" x14ac:dyDescent="0.25">
      <c r="K210" s="6"/>
    </row>
    <row r="211" spans="11:11" x14ac:dyDescent="0.25">
      <c r="K211" s="6"/>
    </row>
    <row r="212" spans="11:11" x14ac:dyDescent="0.25">
      <c r="K212" s="6"/>
    </row>
    <row r="213" spans="11:11" x14ac:dyDescent="0.25">
      <c r="K213" s="6"/>
    </row>
    <row r="214" spans="11:11" x14ac:dyDescent="0.25">
      <c r="K214" s="6"/>
    </row>
    <row r="215" spans="11:11" x14ac:dyDescent="0.25">
      <c r="K215" s="6"/>
    </row>
    <row r="216" spans="11:11" x14ac:dyDescent="0.25">
      <c r="K216" s="6"/>
    </row>
    <row r="217" spans="11:11" x14ac:dyDescent="0.25">
      <c r="K217" s="6"/>
    </row>
    <row r="218" spans="11:11" x14ac:dyDescent="0.25">
      <c r="K218" s="6"/>
    </row>
    <row r="219" spans="11:11" x14ac:dyDescent="0.25">
      <c r="K219" s="6"/>
    </row>
    <row r="220" spans="11:11" x14ac:dyDescent="0.25">
      <c r="K220" s="6"/>
    </row>
    <row r="221" spans="11:11" x14ac:dyDescent="0.25">
      <c r="K221" s="6"/>
    </row>
    <row r="222" spans="11:11" x14ac:dyDescent="0.25">
      <c r="K222" s="6"/>
    </row>
    <row r="223" spans="11:11" x14ac:dyDescent="0.25">
      <c r="K223" s="6"/>
    </row>
    <row r="224" spans="11:11" x14ac:dyDescent="0.25">
      <c r="K224" s="6"/>
    </row>
    <row r="225" spans="11:11" x14ac:dyDescent="0.25">
      <c r="K225" s="6"/>
    </row>
    <row r="226" spans="11:11" x14ac:dyDescent="0.25">
      <c r="K226" s="6"/>
    </row>
    <row r="227" spans="11:11" x14ac:dyDescent="0.25">
      <c r="K227" s="6"/>
    </row>
    <row r="228" spans="11:11" x14ac:dyDescent="0.25">
      <c r="K228" s="6"/>
    </row>
    <row r="229" spans="11:11" x14ac:dyDescent="0.25">
      <c r="K229" s="6"/>
    </row>
    <row r="230" spans="11:11" x14ac:dyDescent="0.25">
      <c r="K230" s="6"/>
    </row>
    <row r="231" spans="11:11" x14ac:dyDescent="0.25">
      <c r="K231" s="6"/>
    </row>
    <row r="232" spans="11:11" x14ac:dyDescent="0.25">
      <c r="K232" s="6"/>
    </row>
    <row r="233" spans="11:11" x14ac:dyDescent="0.25">
      <c r="K233" s="6"/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FD79-0111-4C05-B804-6E485BCDA3F1}">
  <dimension ref="A1:H3"/>
  <sheetViews>
    <sheetView workbookViewId="0">
      <selection sqref="A1:XFD1048576"/>
    </sheetView>
  </sheetViews>
  <sheetFormatPr defaultRowHeight="15" x14ac:dyDescent="0.25"/>
  <cols>
    <col min="1" max="1" width="15.7109375" bestFit="1" customWidth="1"/>
    <col min="2" max="2" width="10.7109375" bestFit="1" customWidth="1"/>
    <col min="3" max="3" width="15.28515625" customWidth="1"/>
    <col min="5" max="5" width="18.140625" customWidth="1"/>
    <col min="7" max="7" width="17.5703125" customWidth="1"/>
  </cols>
  <sheetData>
    <row r="1" spans="1:8" ht="31.5" x14ac:dyDescent="0.5">
      <c r="G1" s="15" t="s">
        <v>84</v>
      </c>
    </row>
    <row r="3" spans="1:8" ht="21" x14ac:dyDescent="0.35">
      <c r="A3" s="12" t="s">
        <v>85</v>
      </c>
      <c r="B3" s="13">
        <v>617000</v>
      </c>
      <c r="C3" s="12" t="s">
        <v>86</v>
      </c>
      <c r="D3" s="13">
        <v>88500</v>
      </c>
      <c r="E3" s="12" t="s">
        <v>87</v>
      </c>
      <c r="F3" s="13">
        <v>30850</v>
      </c>
      <c r="G3" s="12" t="s">
        <v>88</v>
      </c>
      <c r="H3" s="13">
        <v>20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37C3711FDDAD4A90B0EB7CC69BE776" ma:contentTypeVersion="4" ma:contentTypeDescription="Create a new document." ma:contentTypeScope="" ma:versionID="0229da0b116853ac45b6d53c03e26d34">
  <xsd:schema xmlns:xsd="http://www.w3.org/2001/XMLSchema" xmlns:xs="http://www.w3.org/2001/XMLSchema" xmlns:p="http://schemas.microsoft.com/office/2006/metadata/properties" xmlns:ns3="c7593cad-fb1a-4e21-b9da-aaeff0f24b49" targetNamespace="http://schemas.microsoft.com/office/2006/metadata/properties" ma:root="true" ma:fieldsID="42428f5d5ee656ca03419c8c4edf12ed" ns3:_="">
    <xsd:import namespace="c7593cad-fb1a-4e21-b9da-aaeff0f24b4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93cad-fb1a-4e21-b9da-aaeff0f24b4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6A2DE6-97F1-4E1A-B7F4-46260AAEE9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0B98A2-B8A9-426A-A9FE-5C67A65F5C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593cad-fb1a-4e21-b9da-aaeff0f24b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64B107-B60B-4DD8-B9A6-C902E0010C4B}">
  <ds:schemaRefs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c7593cad-fb1a-4e21-b9da-aaeff0f24b49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S0048079</cp:lastModifiedBy>
  <dcterms:created xsi:type="dcterms:W3CDTF">2026-09-30T09:52:19Z</dcterms:created>
  <dcterms:modified xsi:type="dcterms:W3CDTF">2026-10-12T09:29:59Z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0x010100AF37C3711FDDAD4A90B0EB7CC69BE776</vt:lpwstr>
  </property>
</Properties>
</file>